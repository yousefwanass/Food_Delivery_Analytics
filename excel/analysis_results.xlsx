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D:\Data Analysis\INSTANT\Food deliver analytics ETE DA pt\excel\"/>
    </mc:Choice>
  </mc:AlternateContent>
  <xr:revisionPtr revIDLastSave="0" documentId="13_ncr:1_{25752677-CA1B-4F39-A6F1-D96B9FDD5F83}" xr6:coauthVersionLast="47" xr6:coauthVersionMax="47" xr10:uidLastSave="{00000000-0000-0000-0000-000000000000}"/>
  <bookViews>
    <workbookView xWindow="-108" yWindow="-108" windowWidth="23256" windowHeight="12456" tabRatio="919" activeTab="1" xr2:uid="{00000000-000D-0000-FFFF-FFFF00000000}"/>
  </bookViews>
  <sheets>
    <sheet name="pivot tables" sheetId="11" r:id="rId1"/>
    <sheet name="Dashboard" sheetId="10" r:id="rId2"/>
    <sheet name="KPIs" sheetId="1" r:id="rId3"/>
    <sheet name="Revenue" sheetId="2" r:id="rId4"/>
    <sheet name="Orders Status" sheetId="3" r:id="rId5"/>
    <sheet name="Customers City" sheetId="4" r:id="rId6"/>
    <sheet name="Customers Gender" sheetId="5" r:id="rId7"/>
    <sheet name="Top Customers" sheetId="6" r:id="rId8"/>
    <sheet name="Top Restaurants" sheetId="7" r:id="rId9"/>
    <sheet name="Top Drivers" sheetId="8" r:id="rId10"/>
    <sheet name="Monthly Revenue" sheetId="9" r:id="rId11"/>
  </sheets>
  <calcPr calcId="0"/>
  <pivotCaches>
    <pivotCache cacheId="3" r:id="rId12"/>
    <pivotCache cacheId="7" r:id="rId13"/>
    <pivotCache cacheId="11" r:id="rId14"/>
    <pivotCache cacheId="15" r:id="rId15"/>
    <pivotCache cacheId="19" r:id="rId16"/>
    <pivotCache cacheId="23" r:id="rId17"/>
  </pivotCaches>
</workbook>
</file>

<file path=xl/sharedStrings.xml><?xml version="1.0" encoding="utf-8"?>
<sst xmlns="http://schemas.openxmlformats.org/spreadsheetml/2006/main" count="129" uniqueCount="69">
  <si>
    <t>Metric</t>
  </si>
  <si>
    <t>Value</t>
  </si>
  <si>
    <t>Total Customers</t>
  </si>
  <si>
    <t>Total Restaurants</t>
  </si>
  <si>
    <t>Total Drivers</t>
  </si>
  <si>
    <t>Total Orders</t>
  </si>
  <si>
    <t>Total Revenue</t>
  </si>
  <si>
    <t>Average Order Value</t>
  </si>
  <si>
    <t>payment_method</t>
  </si>
  <si>
    <t>amount_paid</t>
  </si>
  <si>
    <t>Card</t>
  </si>
  <si>
    <t>Cash</t>
  </si>
  <si>
    <t>Wallet</t>
  </si>
  <si>
    <t>order_status</t>
  </si>
  <si>
    <t>Orders</t>
  </si>
  <si>
    <t>Cancelled</t>
  </si>
  <si>
    <t>Delivered</t>
  </si>
  <si>
    <t>Failed</t>
  </si>
  <si>
    <t>city</t>
  </si>
  <si>
    <t>Customers</t>
  </si>
  <si>
    <t>Alexandria</t>
  </si>
  <si>
    <t>Assiut</t>
  </si>
  <si>
    <t>Cairo</t>
  </si>
  <si>
    <t>Giza</t>
  </si>
  <si>
    <t>Ismailia</t>
  </si>
  <si>
    <t>Mansoura</t>
  </si>
  <si>
    <t>Minya</t>
  </si>
  <si>
    <t>Sohag</t>
  </si>
  <si>
    <t>Tanta</t>
  </si>
  <si>
    <t>Zagazig</t>
  </si>
  <si>
    <t>gender</t>
  </si>
  <si>
    <t>Female</t>
  </si>
  <si>
    <t>Male</t>
  </si>
  <si>
    <t>customer_id</t>
  </si>
  <si>
    <t>restaurant_id</t>
  </si>
  <si>
    <t>driver_id</t>
  </si>
  <si>
    <t>Deliveries</t>
  </si>
  <si>
    <t>payment_datetime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</si>
  <si>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</si>
  <si>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</si>
  <si>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</si>
  <si>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</si>
  <si>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</si>
  <si>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</si>
  <si>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</si>
  <si>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</si>
  <si>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</si>
  <si>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</si>
  <si>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</si>
  <si>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</si>
  <si>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</si>
  <si>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</si>
  <si>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</si>
  <si>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</si>
  <si>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</si>
  <si>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</si>
  <si>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</si>
  <si>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</si>
  <si>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</si>
  <si>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</si>
  <si>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</si>
  <si>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</si>
  <si>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</si>
  <si>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Row Labels</t>
  </si>
  <si>
    <t>Grand Total</t>
  </si>
  <si>
    <t>Sum of amount_paid</t>
  </si>
  <si>
    <t>Sum of Orders</t>
  </si>
  <si>
    <t>Sum of Customers</t>
  </si>
  <si>
    <t>kpis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</si>
</sst>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AEAD1A7D-A80B-4397-9F4B-D41AE10DD18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[analysis_results.xlsx]pivot tables!PivotTable1</c:name>
    <c:fmtId val="18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shade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5">
              <a:tint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shade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5">
              <a:tint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314-4896-9842-AB66258CA97F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314-4896-9842-AB66258CA97F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314-4896-9842-AB66258CA97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Wallet</c:v>
                </c:pt>
              </c:strCache>
            </c:strRef>
          </c:cat>
          <c:val>
            <c:numRef>
              <c:f>'pivot tables'!$B$4:$B$7</c:f>
              <c:numCache>
                <c:formatCode>General</c:formatCode>
                <c:ptCount val="3"/>
                <c:pt idx="0">
                  <c:v>6127684</c:v>
                </c:pt>
                <c:pt idx="1">
                  <c:v>7215257</c:v>
                </c:pt>
                <c:pt idx="2">
                  <c:v>2376994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14-4896-9842-AB66258CA97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[analysis_results.xlsx]pivot tables!PivotTable2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tables'!$E$4:$E$7</c:f>
              <c:strCache>
                <c:ptCount val="3"/>
                <c:pt idx="0">
                  <c:v>Cancelled</c:v>
                </c:pt>
                <c:pt idx="1">
                  <c:v>Delivered</c:v>
                </c:pt>
                <c:pt idx="2">
                  <c:v>Failed</c:v>
                </c:pt>
              </c:strCache>
            </c:strRef>
          </c:cat>
          <c:val>
            <c:numRef>
              <c:f>'pivot tables'!$F$4:$F$7</c:f>
              <c:numCache>
                <c:formatCode>General</c:formatCode>
                <c:ptCount val="3"/>
                <c:pt idx="0">
                  <c:v>1284</c:v>
                </c:pt>
                <c:pt idx="1">
                  <c:v>22967</c:v>
                </c:pt>
                <c:pt idx="2">
                  <c:v>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0-4A09-A6EE-2727BBF10C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97067232"/>
        <c:axId val="582759520"/>
      </c:barChart>
      <c:catAx>
        <c:axId val="1497067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759520"/>
        <c:crosses val="autoZero"/>
        <c:auto val="1"/>
        <c:lblAlgn val="ctr"/>
        <c:lblOffset val="100"/>
        <c:noMultiLvlLbl val="0"/>
      </c:catAx>
      <c:valAx>
        <c:axId val="5827595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06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[analysis_results.xlsx]pivot tables!PivotTable3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tables'!$I$4:$I$14</c:f>
              <c:strCache>
                <c:ptCount val="10"/>
                <c:pt idx="0">
                  <c:v>Alexandria</c:v>
                </c:pt>
                <c:pt idx="1">
                  <c:v>Assiut</c:v>
                </c:pt>
                <c:pt idx="2">
                  <c:v>Cairo</c:v>
                </c:pt>
                <c:pt idx="3">
                  <c:v>Giza</c:v>
                </c:pt>
                <c:pt idx="4">
                  <c:v>Ismailia</c:v>
                </c:pt>
                <c:pt idx="5">
                  <c:v>Mansoura</c:v>
                </c:pt>
                <c:pt idx="6">
                  <c:v>Minya</c:v>
                </c:pt>
                <c:pt idx="7">
                  <c:v>Sohag</c:v>
                </c:pt>
                <c:pt idx="8">
                  <c:v>Tanta</c:v>
                </c:pt>
                <c:pt idx="9">
                  <c:v>Zagazig</c:v>
                </c:pt>
              </c:strCache>
            </c:strRef>
          </c:cat>
          <c:val>
            <c:numRef>
              <c:f>'pivot tables'!$J$4:$J$14</c:f>
              <c:numCache>
                <c:formatCode>General</c:formatCode>
                <c:ptCount val="10"/>
                <c:pt idx="0">
                  <c:v>425</c:v>
                </c:pt>
                <c:pt idx="1">
                  <c:v>71</c:v>
                </c:pt>
                <c:pt idx="2">
                  <c:v>1098</c:v>
                </c:pt>
                <c:pt idx="3">
                  <c:v>589</c:v>
                </c:pt>
                <c:pt idx="4">
                  <c:v>117</c:v>
                </c:pt>
                <c:pt idx="5">
                  <c:v>226</c:v>
                </c:pt>
                <c:pt idx="6">
                  <c:v>69</c:v>
                </c:pt>
                <c:pt idx="7">
                  <c:v>59</c:v>
                </c:pt>
                <c:pt idx="8">
                  <c:v>180</c:v>
                </c:pt>
                <c:pt idx="9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7-47A9-AB09-A2E3B50DBB5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70541952"/>
        <c:axId val="1570542432"/>
      </c:barChart>
      <c:catAx>
        <c:axId val="1570541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542432"/>
        <c:crosses val="autoZero"/>
        <c:auto val="1"/>
        <c:lblAlgn val="ctr"/>
        <c:lblOffset val="100"/>
        <c:noMultiLvlLbl val="0"/>
      </c:catAx>
      <c:valAx>
        <c:axId val="157054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54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[analysis_results.xlsx]pivot tables!PivotTable4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4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tables'!$N$3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07F-45D7-8F86-62F67BA31036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07F-45D7-8F86-62F67BA3103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tables'!$M$4:$M$6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tables'!$N$4:$N$6</c:f>
              <c:numCache>
                <c:formatCode>General</c:formatCode>
                <c:ptCount val="2"/>
                <c:pt idx="0">
                  <c:v>1507</c:v>
                </c:pt>
                <c:pt idx="1">
                  <c:v>1493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7F-45D7-8F86-62F67BA3103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[analysis_results.xlsx]pivot tables!PivotTable6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tables'!$R$3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tables'!$Q$4:$Q$24</c:f>
              <c:strCache>
                <c:ptCount val="20"/>
                <c:pt idx="0">
                  <c:v>231</c:v>
                </c:pt>
                <c:pt idx="1">
                  <c:v>675</c:v>
                </c:pt>
                <c:pt idx="2">
                  <c:v>680</c:v>
                </c:pt>
                <c:pt idx="3">
                  <c:v>792</c:v>
                </c:pt>
                <c:pt idx="4">
                  <c:v>974</c:v>
                </c:pt>
                <c:pt idx="5">
                  <c:v>1045</c:v>
                </c:pt>
                <c:pt idx="6">
                  <c:v>1076</c:v>
                </c:pt>
                <c:pt idx="7">
                  <c:v>1231</c:v>
                </c:pt>
                <c:pt idx="8">
                  <c:v>1748</c:v>
                </c:pt>
                <c:pt idx="9">
                  <c:v>1862</c:v>
                </c:pt>
                <c:pt idx="10">
                  <c:v>2197</c:v>
                </c:pt>
                <c:pt idx="11">
                  <c:v>2206</c:v>
                </c:pt>
                <c:pt idx="12">
                  <c:v>2433</c:v>
                </c:pt>
                <c:pt idx="13">
                  <c:v>2491</c:v>
                </c:pt>
                <c:pt idx="14">
                  <c:v>2533</c:v>
                </c:pt>
                <c:pt idx="15">
                  <c:v>2583</c:v>
                </c:pt>
                <c:pt idx="16">
                  <c:v>2662</c:v>
                </c:pt>
                <c:pt idx="17">
                  <c:v>2771</c:v>
                </c:pt>
                <c:pt idx="18">
                  <c:v>2852</c:v>
                </c:pt>
                <c:pt idx="19">
                  <c:v>2973</c:v>
                </c:pt>
              </c:strCache>
            </c:strRef>
          </c:cat>
          <c:val>
            <c:numRef>
              <c:f>'pivot tables'!$R$4:$R$24</c:f>
              <c:numCache>
                <c:formatCode>General</c:formatCode>
                <c:ptCount val="20"/>
                <c:pt idx="0">
                  <c:v>25</c:v>
                </c:pt>
                <c:pt idx="1">
                  <c:v>20</c:v>
                </c:pt>
                <c:pt idx="2">
                  <c:v>19</c:v>
                </c:pt>
                <c:pt idx="3">
                  <c:v>21</c:v>
                </c:pt>
                <c:pt idx="4">
                  <c:v>20</c:v>
                </c:pt>
                <c:pt idx="5">
                  <c:v>20</c:v>
                </c:pt>
                <c:pt idx="6">
                  <c:v>19</c:v>
                </c:pt>
                <c:pt idx="7">
                  <c:v>19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19</c:v>
                </c:pt>
                <c:pt idx="12">
                  <c:v>18</c:v>
                </c:pt>
                <c:pt idx="13">
                  <c:v>20</c:v>
                </c:pt>
                <c:pt idx="14">
                  <c:v>18</c:v>
                </c:pt>
                <c:pt idx="15">
                  <c:v>18</c:v>
                </c:pt>
                <c:pt idx="16">
                  <c:v>20</c:v>
                </c:pt>
                <c:pt idx="17">
                  <c:v>21</c:v>
                </c:pt>
                <c:pt idx="18">
                  <c:v>18</c:v>
                </c:pt>
                <c:pt idx="1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2-4CF5-AE5C-D71D56A7BBF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70533728"/>
        <c:axId val="1570535168"/>
      </c:barChart>
      <c:catAx>
        <c:axId val="157053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535168"/>
        <c:crosses val="autoZero"/>
        <c:auto val="1"/>
        <c:lblAlgn val="ctr"/>
        <c:lblOffset val="100"/>
        <c:noMultiLvlLbl val="0"/>
      </c:catAx>
      <c:valAx>
        <c:axId val="15705351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7053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[analysis_results.xlsx]pivot tables!PivotTable5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tables'!$B$15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cat>
            <c:strRef>
              <c:f>'pivot tables'!$A$16:$A$41</c:f>
              <c:strCache>
                <c:ptCount val="25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  <c:pt idx="24">
                  <c:v>2026-07</c:v>
                </c:pt>
              </c:strCache>
            </c:strRef>
          </c:cat>
          <c:val>
            <c:numRef>
              <c:f>'pivot tables'!$B$16:$B$41</c:f>
              <c:numCache>
                <c:formatCode>General</c:formatCode>
                <c:ptCount val="25"/>
                <c:pt idx="0">
                  <c:v>375274</c:v>
                </c:pt>
                <c:pt idx="1">
                  <c:v>661691</c:v>
                </c:pt>
                <c:pt idx="2">
                  <c:v>695397</c:v>
                </c:pt>
                <c:pt idx="3">
                  <c:v>654420</c:v>
                </c:pt>
                <c:pt idx="4">
                  <c:v>634928</c:v>
                </c:pt>
                <c:pt idx="5">
                  <c:v>668156</c:v>
                </c:pt>
                <c:pt idx="6">
                  <c:v>676556</c:v>
                </c:pt>
                <c:pt idx="7">
                  <c:v>588694</c:v>
                </c:pt>
                <c:pt idx="8">
                  <c:v>668054</c:v>
                </c:pt>
                <c:pt idx="9">
                  <c:v>650838</c:v>
                </c:pt>
                <c:pt idx="10">
                  <c:v>659881</c:v>
                </c:pt>
                <c:pt idx="11">
                  <c:v>627740</c:v>
                </c:pt>
                <c:pt idx="12">
                  <c:v>685860</c:v>
                </c:pt>
                <c:pt idx="13">
                  <c:v>680198</c:v>
                </c:pt>
                <c:pt idx="14">
                  <c:v>611559</c:v>
                </c:pt>
                <c:pt idx="15">
                  <c:v>668158</c:v>
                </c:pt>
                <c:pt idx="16">
                  <c:v>684800</c:v>
                </c:pt>
                <c:pt idx="17">
                  <c:v>649590</c:v>
                </c:pt>
                <c:pt idx="18">
                  <c:v>667861</c:v>
                </c:pt>
                <c:pt idx="19">
                  <c:v>596594</c:v>
                </c:pt>
                <c:pt idx="20">
                  <c:v>666349</c:v>
                </c:pt>
                <c:pt idx="21">
                  <c:v>668310</c:v>
                </c:pt>
                <c:pt idx="22">
                  <c:v>657582</c:v>
                </c:pt>
                <c:pt idx="23">
                  <c:v>589170</c:v>
                </c:pt>
                <c:pt idx="24">
                  <c:v>332275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2-44FD-A742-48277431765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0869680"/>
        <c:axId val="1580872560"/>
      </c:lineChart>
      <c:catAx>
        <c:axId val="158086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872560"/>
        <c:crosses val="autoZero"/>
        <c:auto val="1"/>
        <c:lblAlgn val="ctr"/>
        <c:lblOffset val="100"/>
        <c:noMultiLvlLbl val="0"/>
      </c:catAx>
      <c:valAx>
        <c:axId val="15808725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086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137160</xdr:rowOff>
    </xdr:from>
    <xdr:to>
      <xdr:col>5</xdr:col>
      <xdr:colOff>388620</xdr:colOff>
      <xdr:row>18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904278-6947-4983-84E0-8CB855D441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144780</xdr:rowOff>
    </xdr:from>
    <xdr:to>
      <xdr:col>7</xdr:col>
      <xdr:colOff>304800</xdr:colOff>
      <xdr:row>33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4059A4-00D1-44AF-915A-8BCB10C9B6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18</xdr:row>
      <xdr:rowOff>129540</xdr:rowOff>
    </xdr:from>
    <xdr:to>
      <xdr:col>15</xdr:col>
      <xdr:colOff>0</xdr:colOff>
      <xdr:row>34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DE9FE6-08F5-4542-B17B-FE5E8C3B4D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403860</xdr:colOff>
      <xdr:row>4</xdr:row>
      <xdr:rowOff>137160</xdr:rowOff>
    </xdr:from>
    <xdr:to>
      <xdr:col>13</xdr:col>
      <xdr:colOff>15240</xdr:colOff>
      <xdr:row>18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D4732E-745E-4702-9FD6-2D5944AB3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15240</xdr:colOff>
      <xdr:row>18</xdr:row>
      <xdr:rowOff>129540</xdr:rowOff>
    </xdr:from>
    <xdr:to>
      <xdr:col>22</xdr:col>
      <xdr:colOff>563880</xdr:colOff>
      <xdr:row>33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7378B19-C79B-4EA2-BF0E-84B6F0461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30480</xdr:colOff>
      <xdr:row>4</xdr:row>
      <xdr:rowOff>137160</xdr:rowOff>
    </xdr:from>
    <xdr:to>
      <xdr:col>22</xdr:col>
      <xdr:colOff>563880</xdr:colOff>
      <xdr:row>18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56F13EB-16D6-4A56-B4FB-8B6E045318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</xdr:colOff>
      <xdr:row>0</xdr:row>
      <xdr:rowOff>22860</xdr:rowOff>
    </xdr:from>
    <xdr:to>
      <xdr:col>22</xdr:col>
      <xdr:colOff>533400</xdr:colOff>
      <xdr:row>4</xdr:row>
      <xdr:rowOff>137160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7C21ABA-8285-8A0B-D352-9055C3E3A4D8}"/>
            </a:ext>
          </a:extLst>
        </xdr:cNvPr>
        <xdr:cNvSpPr/>
      </xdr:nvSpPr>
      <xdr:spPr>
        <a:xfrm>
          <a:off x="15240" y="22860"/>
          <a:ext cx="13929360" cy="8458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Food Delivery Analytics Dashboard</a:t>
          </a:r>
        </a:p>
        <a:p>
          <a:pPr algn="ctr"/>
          <a:endParaRPr lang="en-US" sz="1600" b="1"/>
        </a:p>
        <a:p>
          <a:pPr algn="ctr"/>
          <a:r>
            <a:rPr lang="en-US" sz="1300" b="1"/>
            <a:t>Business Performance Report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9.771648611109" createdVersion="8" refreshedVersion="8" minRefreshableVersion="3" recordCount="3" xr:uid="{EDB785DF-76BB-4BA0-8708-35EF4495BE92}">
  <cacheSource type="worksheet">
    <worksheetSource ref="A1:B4" sheet="Revenue"/>
  </cacheSource>
  <cacheFields count="2">
    <cacheField name="payment_method" numFmtId="0">
      <sharedItems count="3">
        <s v="Card"/>
        <s v="Cash"/>
        <s v="Wallet"/>
      </sharedItems>
    </cacheField>
    <cacheField name="amount_paid" numFmtId="0">
      <sharedItems containsSemiMixedTypes="0" containsString="0" containsNumber="1" containsInteger="1" minValue="2376994" maxValue="72152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9.772717939813" createdVersion="8" refreshedVersion="8" minRefreshableVersion="3" recordCount="3" xr:uid="{A24E6BA7-521A-43B9-9C33-D1CADF2D1A12}">
  <cacheSource type="worksheet">
    <worksheetSource ref="A1:B4" sheet="Orders Status"/>
  </cacheSource>
  <cacheFields count="2">
    <cacheField name="order_status" numFmtId="0">
      <sharedItems count="3">
        <s v="Cancelled"/>
        <s v="Delivered"/>
        <s v="Failed"/>
      </sharedItems>
    </cacheField>
    <cacheField name="Orders" numFmtId="0">
      <sharedItems containsSemiMixedTypes="0" containsString="0" containsNumber="1" containsInteger="1" minValue="749" maxValue="229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9.774719560184" createdVersion="8" refreshedVersion="8" minRefreshableVersion="3" recordCount="10" xr:uid="{399E9B98-1C88-446B-B083-24D050BB6635}">
  <cacheSource type="worksheet">
    <worksheetSource ref="A1:B11" sheet="Customers City"/>
  </cacheSource>
  <cacheFields count="2">
    <cacheField name="city" numFmtId="0">
      <sharedItems count="10">
        <s v="Alexandria"/>
        <s v="Assiut"/>
        <s v="Cairo"/>
        <s v="Giza"/>
        <s v="Ismailia"/>
        <s v="Mansoura"/>
        <s v="Minya"/>
        <s v="Sohag"/>
        <s v="Tanta"/>
        <s v="Zagazig"/>
      </sharedItems>
    </cacheField>
    <cacheField name="Customers" numFmtId="0">
      <sharedItems containsSemiMixedTypes="0" containsString="0" containsNumber="1" containsInteger="1" minValue="59" maxValue="10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9.77531759259" createdVersion="8" refreshedVersion="8" minRefreshableVersion="3" recordCount="2" xr:uid="{E2C6B352-9BE4-4AF3-BE1E-B72937F5C163}">
  <cacheSource type="worksheet">
    <worksheetSource ref="A1:B3" sheet="Customers Gender"/>
  </cacheSource>
  <cacheFields count="2">
    <cacheField name="gender" numFmtId="0">
      <sharedItems count="2">
        <s v="Female"/>
        <s v="Male"/>
      </sharedItems>
    </cacheField>
    <cacheField name="Customers" numFmtId="0">
      <sharedItems containsSemiMixedTypes="0" containsString="0" containsNumber="1" containsInteger="1" minValue="1493" maxValue="15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9.775712268522" createdVersion="8" refreshedVersion="8" minRefreshableVersion="3" recordCount="25" xr:uid="{481E5325-B40A-4EB7-9CF4-10F3DBFEDA72}">
  <cacheSource type="worksheet">
    <worksheetSource ref="A1:B26" sheet="Monthly Revenue"/>
  </cacheSource>
  <cacheFields count="2">
    <cacheField name="payment_datetime" numFmtId="0">
      <sharedItems count="25"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  <s v="2026-01"/>
        <s v="2026-02"/>
        <s v="2026-03"/>
        <s v="2026-04"/>
        <s v="2026-05"/>
        <s v="2026-06"/>
        <s v="2026-07"/>
      </sharedItems>
    </cacheField>
    <cacheField name="amount_paid" numFmtId="0">
      <sharedItems containsSemiMixedTypes="0" containsString="0" containsNumber="1" containsInteger="1" minValue="332275" maxValue="6953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9.776132060186" createdVersion="8" refreshedVersion="8" minRefreshableVersion="3" recordCount="20" xr:uid="{F8A6AB1F-3E7A-4BDA-BC3F-920C8B93DF30}">
  <cacheSource type="worksheet">
    <worksheetSource ref="A1:B21" sheet="Top Customers"/>
  </cacheSource>
  <cacheFields count="2">
    <cacheField name="customer_id" numFmtId="0">
      <sharedItems containsSemiMixedTypes="0" containsString="0" containsNumber="1" containsInteger="1" minValue="231" maxValue="2973" count="20">
        <n v="231"/>
        <n v="2771"/>
        <n v="792"/>
        <n v="2662"/>
        <n v="974"/>
        <n v="675"/>
        <n v="1045"/>
        <n v="2491"/>
        <n v="2206"/>
        <n v="680"/>
        <n v="2973"/>
        <n v="1231"/>
        <n v="1076"/>
        <n v="2852"/>
        <n v="1748"/>
        <n v="2583"/>
        <n v="2197"/>
        <n v="2533"/>
        <n v="1862"/>
        <n v="2433"/>
      </sharedItems>
    </cacheField>
    <cacheField name="Orders" numFmtId="0">
      <sharedItems containsSemiMixedTypes="0" containsString="0" containsNumber="1" containsInteger="1" minValue="18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6127684"/>
  </r>
  <r>
    <x v="1"/>
    <n v="7215257"/>
  </r>
  <r>
    <x v="2"/>
    <n v="237699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284"/>
  </r>
  <r>
    <x v="1"/>
    <n v="22967"/>
  </r>
  <r>
    <x v="2"/>
    <n v="74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425"/>
  </r>
  <r>
    <x v="1"/>
    <n v="71"/>
  </r>
  <r>
    <x v="2"/>
    <n v="1098"/>
  </r>
  <r>
    <x v="3"/>
    <n v="589"/>
  </r>
  <r>
    <x v="4"/>
    <n v="117"/>
  </r>
  <r>
    <x v="5"/>
    <n v="226"/>
  </r>
  <r>
    <x v="6"/>
    <n v="69"/>
  </r>
  <r>
    <x v="7"/>
    <n v="59"/>
  </r>
  <r>
    <x v="8"/>
    <n v="180"/>
  </r>
  <r>
    <x v="9"/>
    <n v="16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1507"/>
  </r>
  <r>
    <x v="1"/>
    <n v="149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n v="375274"/>
  </r>
  <r>
    <x v="1"/>
    <n v="661691"/>
  </r>
  <r>
    <x v="2"/>
    <n v="695397"/>
  </r>
  <r>
    <x v="3"/>
    <n v="654420"/>
  </r>
  <r>
    <x v="4"/>
    <n v="634928"/>
  </r>
  <r>
    <x v="5"/>
    <n v="668156"/>
  </r>
  <r>
    <x v="6"/>
    <n v="676556"/>
  </r>
  <r>
    <x v="7"/>
    <n v="588694"/>
  </r>
  <r>
    <x v="8"/>
    <n v="668054"/>
  </r>
  <r>
    <x v="9"/>
    <n v="650838"/>
  </r>
  <r>
    <x v="10"/>
    <n v="659881"/>
  </r>
  <r>
    <x v="11"/>
    <n v="627740"/>
  </r>
  <r>
    <x v="12"/>
    <n v="685860"/>
  </r>
  <r>
    <x v="13"/>
    <n v="680198"/>
  </r>
  <r>
    <x v="14"/>
    <n v="611559"/>
  </r>
  <r>
    <x v="15"/>
    <n v="668158"/>
  </r>
  <r>
    <x v="16"/>
    <n v="684800"/>
  </r>
  <r>
    <x v="17"/>
    <n v="649590"/>
  </r>
  <r>
    <x v="18"/>
    <n v="667861"/>
  </r>
  <r>
    <x v="19"/>
    <n v="596594"/>
  </r>
  <r>
    <x v="20"/>
    <n v="666349"/>
  </r>
  <r>
    <x v="21"/>
    <n v="668310"/>
  </r>
  <r>
    <x v="22"/>
    <n v="657582"/>
  </r>
  <r>
    <x v="23"/>
    <n v="589170"/>
  </r>
  <r>
    <x v="24"/>
    <n v="33227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25"/>
  </r>
  <r>
    <x v="1"/>
    <n v="21"/>
  </r>
  <r>
    <x v="2"/>
    <n v="21"/>
  </r>
  <r>
    <x v="3"/>
    <n v="20"/>
  </r>
  <r>
    <x v="4"/>
    <n v="20"/>
  </r>
  <r>
    <x v="5"/>
    <n v="20"/>
  </r>
  <r>
    <x v="6"/>
    <n v="20"/>
  </r>
  <r>
    <x v="7"/>
    <n v="20"/>
  </r>
  <r>
    <x v="8"/>
    <n v="19"/>
  </r>
  <r>
    <x v="9"/>
    <n v="19"/>
  </r>
  <r>
    <x v="10"/>
    <n v="19"/>
  </r>
  <r>
    <x v="11"/>
    <n v="19"/>
  </r>
  <r>
    <x v="12"/>
    <n v="19"/>
  </r>
  <r>
    <x v="13"/>
    <n v="18"/>
  </r>
  <r>
    <x v="14"/>
    <n v="18"/>
  </r>
  <r>
    <x v="15"/>
    <n v="18"/>
  </r>
  <r>
    <x v="16"/>
    <n v="18"/>
  </r>
  <r>
    <x v="17"/>
    <n v="18"/>
  </r>
  <r>
    <x v="18"/>
    <n v="18"/>
  </r>
  <r>
    <x v="19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937E7-6142-4FAD-A4DC-81089AED4248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5:B41" firstHeaderRow="1" firstDataRow="1" firstDataCol="1"/>
  <pivotFields count="2"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amount_paid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5C801-BFAB-479E-BE5D-EFBA5466F8D2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Q3:R24" firstHeaderRow="1" firstDataRow="1" firstDataCol="1"/>
  <pivotFields count="2">
    <pivotField axis="axisRow" showAll="0">
      <items count="21">
        <item x="0"/>
        <item x="5"/>
        <item x="9"/>
        <item x="2"/>
        <item x="4"/>
        <item x="6"/>
        <item x="12"/>
        <item x="11"/>
        <item x="14"/>
        <item x="18"/>
        <item x="16"/>
        <item x="8"/>
        <item x="19"/>
        <item x="7"/>
        <item x="17"/>
        <item x="15"/>
        <item x="3"/>
        <item x="1"/>
        <item x="13"/>
        <item x="10"/>
        <item t="default"/>
      </items>
    </pivotField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Order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357277-1FB9-4E49-A062-15EDB4DDA86C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M3:N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Customers" fld="1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A164A-F296-4D0D-8A0D-49B6A11E70EF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I3:J14" firstHeaderRow="1" firstDataRow="1" firstDataCol="1"/>
  <pivotFields count="2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Customer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1B653B-B879-4901-AA2A-DA420A698FF3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E3:F7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Orders" fld="1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59C6B-02FC-4B42-9482-A9A5E967985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7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_paid" fld="1" baseField="0" baseItem="0"/>
  </dataFields>
  <chartFormats count="5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8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8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B6C45-7838-4437-A41F-D052B189BD1E}">
  <dimension ref="A3:R41"/>
  <sheetViews>
    <sheetView workbookViewId="0">
      <selection activeCell="E21" sqref="E21"/>
    </sheetView>
  </sheetViews>
  <sheetFormatPr defaultRowHeight="14.4" x14ac:dyDescent="0.3"/>
  <cols>
    <col min="1" max="1" width="12.5546875" bestFit="1" customWidth="1"/>
    <col min="2" max="2" width="19" bestFit="1" customWidth="1"/>
  </cols>
  <sheetData>
    <row r="3" spans="1:18" x14ac:dyDescent="0.3">
      <c r="A3" s="1" t="s">
        <v>63</v>
      </c>
      <c r="B3" t="s">
        <v>65</v>
      </c>
      <c r="E3" s="1" t="s">
        <v>63</v>
      </c>
      <c r="F3" t="s">
        <v>66</v>
      </c>
      <c r="I3" s="1" t="s">
        <v>63</v>
      </c>
      <c r="J3" t="s">
        <v>67</v>
      </c>
      <c r="M3" s="1" t="s">
        <v>63</v>
      </c>
      <c r="N3" t="s">
        <v>67</v>
      </c>
      <c r="Q3" s="1" t="s">
        <v>63</v>
      </c>
      <c r="R3" t="s">
        <v>66</v>
      </c>
    </row>
    <row r="4" spans="1:18" x14ac:dyDescent="0.3">
      <c r="A4" s="2" t="s">
        <v>10</v>
      </c>
      <c r="B4" s="3">
        <v>6127684</v>
      </c>
      <c r="E4" s="2" t="s">
        <v>15</v>
      </c>
      <c r="F4" s="3">
        <v>1284</v>
      </c>
      <c r="I4" s="2" t="s">
        <v>20</v>
      </c>
      <c r="J4" s="3">
        <v>425</v>
      </c>
      <c r="M4" s="2" t="s">
        <v>31</v>
      </c>
      <c r="N4" s="3">
        <v>1507</v>
      </c>
      <c r="Q4" s="2">
        <v>231</v>
      </c>
      <c r="R4" s="3">
        <v>25</v>
      </c>
    </row>
    <row r="5" spans="1:18" x14ac:dyDescent="0.3">
      <c r="A5" s="2" t="s">
        <v>11</v>
      </c>
      <c r="B5" s="3">
        <v>7215257</v>
      </c>
      <c r="E5" s="2" t="s">
        <v>16</v>
      </c>
      <c r="F5" s="3">
        <v>22967</v>
      </c>
      <c r="I5" s="2" t="s">
        <v>21</v>
      </c>
      <c r="J5" s="3">
        <v>71</v>
      </c>
      <c r="M5" s="2" t="s">
        <v>32</v>
      </c>
      <c r="N5" s="3">
        <v>1493</v>
      </c>
      <c r="Q5" s="2">
        <v>675</v>
      </c>
      <c r="R5" s="3">
        <v>20</v>
      </c>
    </row>
    <row r="6" spans="1:18" x14ac:dyDescent="0.3">
      <c r="A6" s="2" t="s">
        <v>12</v>
      </c>
      <c r="B6" s="3">
        <v>2376994</v>
      </c>
      <c r="E6" s="2" t="s">
        <v>17</v>
      </c>
      <c r="F6" s="3">
        <v>749</v>
      </c>
      <c r="I6" s="2" t="s">
        <v>22</v>
      </c>
      <c r="J6" s="3">
        <v>1098</v>
      </c>
      <c r="M6" s="2" t="s">
        <v>64</v>
      </c>
      <c r="N6" s="3">
        <v>3000</v>
      </c>
      <c r="Q6" s="2">
        <v>680</v>
      </c>
      <c r="R6" s="3">
        <v>19</v>
      </c>
    </row>
    <row r="7" spans="1:18" x14ac:dyDescent="0.3">
      <c r="A7" s="2" t="s">
        <v>64</v>
      </c>
      <c r="B7" s="3">
        <v>15719935</v>
      </c>
      <c r="E7" s="2" t="s">
        <v>64</v>
      </c>
      <c r="F7" s="3">
        <v>25000</v>
      </c>
      <c r="I7" s="2" t="s">
        <v>23</v>
      </c>
      <c r="J7" s="3">
        <v>589</v>
      </c>
      <c r="Q7" s="2">
        <v>792</v>
      </c>
      <c r="R7" s="3">
        <v>21</v>
      </c>
    </row>
    <row r="8" spans="1:18" x14ac:dyDescent="0.3">
      <c r="I8" s="2" t="s">
        <v>24</v>
      </c>
      <c r="J8" s="3">
        <v>117</v>
      </c>
      <c r="Q8" s="2">
        <v>974</v>
      </c>
      <c r="R8" s="3">
        <v>20</v>
      </c>
    </row>
    <row r="9" spans="1:18" x14ac:dyDescent="0.3">
      <c r="I9" s="2" t="s">
        <v>25</v>
      </c>
      <c r="J9" s="3">
        <v>226</v>
      </c>
      <c r="Q9" s="2">
        <v>1045</v>
      </c>
      <c r="R9" s="3">
        <v>20</v>
      </c>
    </row>
    <row r="10" spans="1:18" x14ac:dyDescent="0.3">
      <c r="I10" s="2" t="s">
        <v>26</v>
      </c>
      <c r="J10" s="3">
        <v>69</v>
      </c>
      <c r="Q10" s="2">
        <v>1076</v>
      </c>
      <c r="R10" s="3">
        <v>19</v>
      </c>
    </row>
    <row r="11" spans="1:18" x14ac:dyDescent="0.3">
      <c r="I11" s="2" t="s">
        <v>27</v>
      </c>
      <c r="J11" s="3">
        <v>59</v>
      </c>
      <c r="Q11" s="2">
        <v>1231</v>
      </c>
      <c r="R11" s="3">
        <v>19</v>
      </c>
    </row>
    <row r="12" spans="1:18" x14ac:dyDescent="0.3">
      <c r="I12" s="2" t="s">
        <v>28</v>
      </c>
      <c r="J12" s="3">
        <v>180</v>
      </c>
      <c r="Q12" s="2">
        <v>1748</v>
      </c>
      <c r="R12" s="3">
        <v>18</v>
      </c>
    </row>
    <row r="13" spans="1:18" x14ac:dyDescent="0.3">
      <c r="I13" s="2" t="s">
        <v>29</v>
      </c>
      <c r="J13" s="3">
        <v>166</v>
      </c>
      <c r="Q13" s="2">
        <v>1862</v>
      </c>
      <c r="R13" s="3">
        <v>18</v>
      </c>
    </row>
    <row r="14" spans="1:18" x14ac:dyDescent="0.3">
      <c r="I14" s="2" t="s">
        <v>64</v>
      </c>
      <c r="J14" s="3">
        <v>3000</v>
      </c>
      <c r="Q14" s="2">
        <v>2197</v>
      </c>
      <c r="R14" s="3">
        <v>18</v>
      </c>
    </row>
    <row r="15" spans="1:18" x14ac:dyDescent="0.3">
      <c r="A15" s="1" t="s">
        <v>63</v>
      </c>
      <c r="B15" t="s">
        <v>65</v>
      </c>
      <c r="Q15" s="2">
        <v>2206</v>
      </c>
      <c r="R15" s="3">
        <v>19</v>
      </c>
    </row>
    <row r="16" spans="1:18" x14ac:dyDescent="0.3">
      <c r="A16" s="2" t="s">
        <v>38</v>
      </c>
      <c r="B16" s="3">
        <v>375274</v>
      </c>
      <c r="Q16" s="2">
        <v>2433</v>
      </c>
      <c r="R16" s="3">
        <v>18</v>
      </c>
    </row>
    <row r="17" spans="1:18" x14ac:dyDescent="0.3">
      <c r="A17" s="2" t="s">
        <v>39</v>
      </c>
      <c r="B17" s="3">
        <v>661691</v>
      </c>
      <c r="Q17" s="2">
        <v>2491</v>
      </c>
      <c r="R17" s="3">
        <v>20</v>
      </c>
    </row>
    <row r="18" spans="1:18" x14ac:dyDescent="0.3">
      <c r="A18" s="2" t="s">
        <v>40</v>
      </c>
      <c r="B18" s="3">
        <v>695397</v>
      </c>
      <c r="Q18" s="2">
        <v>2533</v>
      </c>
      <c r="R18" s="3">
        <v>18</v>
      </c>
    </row>
    <row r="19" spans="1:18" x14ac:dyDescent="0.3">
      <c r="A19" s="2" t="s">
        <v>41</v>
      </c>
      <c r="B19" s="3">
        <v>654420</v>
      </c>
      <c r="Q19" s="2">
        <v>2583</v>
      </c>
      <c r="R19" s="3">
        <v>18</v>
      </c>
    </row>
    <row r="20" spans="1:18" x14ac:dyDescent="0.3">
      <c r="A20" s="2" t="s">
        <v>42</v>
      </c>
      <c r="B20" s="3">
        <v>634928</v>
      </c>
      <c r="Q20" s="2">
        <v>2662</v>
      </c>
      <c r="R20" s="3">
        <v>20</v>
      </c>
    </row>
    <row r="21" spans="1:18" ht="21" x14ac:dyDescent="0.4">
      <c r="A21" s="2" t="s">
        <v>43</v>
      </c>
      <c r="B21" s="3">
        <v>668156</v>
      </c>
      <c r="E21" s="4" t="s">
        <v>68</v>
      </c>
      <c r="Q21" s="2">
        <v>2771</v>
      </c>
      <c r="R21" s="3">
        <v>21</v>
      </c>
    </row>
    <row r="22" spans="1:18" x14ac:dyDescent="0.3">
      <c r="A22" s="2" t="s">
        <v>44</v>
      </c>
      <c r="B22" s="3">
        <v>676556</v>
      </c>
      <c r="Q22" s="2">
        <v>2852</v>
      </c>
      <c r="R22" s="3">
        <v>18</v>
      </c>
    </row>
    <row r="23" spans="1:18" x14ac:dyDescent="0.3">
      <c r="A23" s="2" t="s">
        <v>45</v>
      </c>
      <c r="B23" s="3">
        <v>588694</v>
      </c>
      <c r="Q23" s="2">
        <v>2973</v>
      </c>
      <c r="R23" s="3">
        <v>19</v>
      </c>
    </row>
    <row r="24" spans="1:18" x14ac:dyDescent="0.3">
      <c r="A24" s="2" t="s">
        <v>46</v>
      </c>
      <c r="B24" s="3">
        <v>668054</v>
      </c>
      <c r="Q24" s="2" t="s">
        <v>64</v>
      </c>
      <c r="R24" s="3">
        <v>388</v>
      </c>
    </row>
    <row r="25" spans="1:18" x14ac:dyDescent="0.3">
      <c r="A25" s="2" t="s">
        <v>47</v>
      </c>
      <c r="B25" s="3">
        <v>650838</v>
      </c>
    </row>
    <row r="26" spans="1:18" x14ac:dyDescent="0.3">
      <c r="A26" s="2" t="s">
        <v>48</v>
      </c>
      <c r="B26" s="3">
        <v>659881</v>
      </c>
    </row>
    <row r="27" spans="1:18" x14ac:dyDescent="0.3">
      <c r="A27" s="2" t="s">
        <v>49</v>
      </c>
      <c r="B27" s="3">
        <v>627740</v>
      </c>
    </row>
    <row r="28" spans="1:18" x14ac:dyDescent="0.3">
      <c r="A28" s="2" t="s">
        <v>50</v>
      </c>
      <c r="B28" s="3">
        <v>685860</v>
      </c>
    </row>
    <row r="29" spans="1:18" x14ac:dyDescent="0.3">
      <c r="A29" s="2" t="s">
        <v>51</v>
      </c>
      <c r="B29" s="3">
        <v>680198</v>
      </c>
    </row>
    <row r="30" spans="1:18" x14ac:dyDescent="0.3">
      <c r="A30" s="2" t="s">
        <v>52</v>
      </c>
      <c r="B30" s="3">
        <v>611559</v>
      </c>
    </row>
    <row r="31" spans="1:18" x14ac:dyDescent="0.3">
      <c r="A31" s="2" t="s">
        <v>53</v>
      </c>
      <c r="B31" s="3">
        <v>668158</v>
      </c>
    </row>
    <row r="32" spans="1:18" x14ac:dyDescent="0.3">
      <c r="A32" s="2" t="s">
        <v>54</v>
      </c>
      <c r="B32" s="3">
        <v>684800</v>
      </c>
    </row>
    <row r="33" spans="1:2" x14ac:dyDescent="0.3">
      <c r="A33" s="2" t="s">
        <v>55</v>
      </c>
      <c r="B33" s="3">
        <v>649590</v>
      </c>
    </row>
    <row r="34" spans="1:2" x14ac:dyDescent="0.3">
      <c r="A34" s="2" t="s">
        <v>56</v>
      </c>
      <c r="B34" s="3">
        <v>667861</v>
      </c>
    </row>
    <row r="35" spans="1:2" x14ac:dyDescent="0.3">
      <c r="A35" s="2" t="s">
        <v>57</v>
      </c>
      <c r="B35" s="3">
        <v>596594</v>
      </c>
    </row>
    <row r="36" spans="1:2" x14ac:dyDescent="0.3">
      <c r="A36" s="2" t="s">
        <v>58</v>
      </c>
      <c r="B36" s="3">
        <v>666349</v>
      </c>
    </row>
    <row r="37" spans="1:2" x14ac:dyDescent="0.3">
      <c r="A37" s="2" t="s">
        <v>59</v>
      </c>
      <c r="B37" s="3">
        <v>668310</v>
      </c>
    </row>
    <row r="38" spans="1:2" x14ac:dyDescent="0.3">
      <c r="A38" s="2" t="s">
        <v>60</v>
      </c>
      <c r="B38" s="3">
        <v>657582</v>
      </c>
    </row>
    <row r="39" spans="1:2" x14ac:dyDescent="0.3">
      <c r="A39" s="2" t="s">
        <v>61</v>
      </c>
      <c r="B39" s="3">
        <v>589170</v>
      </c>
    </row>
    <row r="40" spans="1:2" x14ac:dyDescent="0.3">
      <c r="A40" s="2" t="s">
        <v>62</v>
      </c>
      <c r="B40" s="3">
        <v>332275</v>
      </c>
    </row>
    <row r="41" spans="1:2" x14ac:dyDescent="0.3">
      <c r="A41" s="2" t="s">
        <v>64</v>
      </c>
      <c r="B41" s="3">
        <v>15719935</v>
      </c>
    </row>
  </sheetData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0E4A-0CB4-4790-85AD-174F9B72347B}">
  <dimension ref="A1"/>
  <sheetViews>
    <sheetView tabSelected="1" workbookViewId="0">
      <selection activeCell="X8" sqref="X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3000</v>
      </c>
    </row>
    <row r="3" spans="1:2" x14ac:dyDescent="0.3">
      <c r="A3" t="s">
        <v>3</v>
      </c>
      <c r="B3">
        <v>20</v>
      </c>
    </row>
    <row r="4" spans="1:2" x14ac:dyDescent="0.3">
      <c r="A4" t="s">
        <v>4</v>
      </c>
      <c r="B4">
        <v>400</v>
      </c>
    </row>
    <row r="5" spans="1:2" x14ac:dyDescent="0.3">
      <c r="A5" t="s">
        <v>5</v>
      </c>
      <c r="B5">
        <v>25000</v>
      </c>
    </row>
    <row r="6" spans="1:2" x14ac:dyDescent="0.3">
      <c r="A6" t="s">
        <v>6</v>
      </c>
      <c r="B6">
        <v>15719935</v>
      </c>
    </row>
    <row r="7" spans="1:2" x14ac:dyDescent="0.3">
      <c r="A7" t="s">
        <v>7</v>
      </c>
      <c r="B7">
        <v>628.79999999999995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4" sqref="A1:B4"/>
    </sheetView>
  </sheetViews>
  <sheetFormatPr defaultRowHeight="14.4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6127684</v>
      </c>
    </row>
    <row r="3" spans="1:2" x14ac:dyDescent="0.3">
      <c r="A3" t="s">
        <v>11</v>
      </c>
      <c r="B3">
        <v>7215257</v>
      </c>
    </row>
    <row r="4" spans="1:2" x14ac:dyDescent="0.3">
      <c r="A4" t="s">
        <v>12</v>
      </c>
      <c r="B4">
        <v>2376994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4.4" x14ac:dyDescent="0.3"/>
  <sheetData>
    <row r="1" spans="1:2" x14ac:dyDescent="0.3">
      <c r="A1" t="s">
        <v>13</v>
      </c>
      <c r="B1" t="s">
        <v>14</v>
      </c>
    </row>
    <row r="2" spans="1:2" x14ac:dyDescent="0.3">
      <c r="A2" t="s">
        <v>15</v>
      </c>
      <c r="B2">
        <v>1284</v>
      </c>
    </row>
    <row r="3" spans="1:2" x14ac:dyDescent="0.3">
      <c r="A3" t="s">
        <v>16</v>
      </c>
      <c r="B3">
        <v>22967</v>
      </c>
    </row>
    <row r="4" spans="1:2" x14ac:dyDescent="0.3">
      <c r="A4" t="s">
        <v>17</v>
      </c>
      <c r="B4">
        <v>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t="s">
        <v>18</v>
      </c>
      <c r="B1" t="s">
        <v>19</v>
      </c>
    </row>
    <row r="2" spans="1:2" x14ac:dyDescent="0.3">
      <c r="A2" t="s">
        <v>20</v>
      </c>
      <c r="B2">
        <v>425</v>
      </c>
    </row>
    <row r="3" spans="1:2" x14ac:dyDescent="0.3">
      <c r="A3" t="s">
        <v>21</v>
      </c>
      <c r="B3">
        <v>71</v>
      </c>
    </row>
    <row r="4" spans="1:2" x14ac:dyDescent="0.3">
      <c r="A4" t="s">
        <v>22</v>
      </c>
      <c r="B4">
        <v>1098</v>
      </c>
    </row>
    <row r="5" spans="1:2" x14ac:dyDescent="0.3">
      <c r="A5" t="s">
        <v>23</v>
      </c>
      <c r="B5">
        <v>589</v>
      </c>
    </row>
    <row r="6" spans="1:2" x14ac:dyDescent="0.3">
      <c r="A6" t="s">
        <v>24</v>
      </c>
      <c r="B6">
        <v>117</v>
      </c>
    </row>
    <row r="7" spans="1:2" x14ac:dyDescent="0.3">
      <c r="A7" t="s">
        <v>25</v>
      </c>
      <c r="B7">
        <v>226</v>
      </c>
    </row>
    <row r="8" spans="1:2" x14ac:dyDescent="0.3">
      <c r="A8" t="s">
        <v>26</v>
      </c>
      <c r="B8">
        <v>69</v>
      </c>
    </row>
    <row r="9" spans="1:2" x14ac:dyDescent="0.3">
      <c r="A9" t="s">
        <v>27</v>
      </c>
      <c r="B9">
        <v>59</v>
      </c>
    </row>
    <row r="10" spans="1:2" x14ac:dyDescent="0.3">
      <c r="A10" t="s">
        <v>28</v>
      </c>
      <c r="B10">
        <v>180</v>
      </c>
    </row>
    <row r="11" spans="1:2" x14ac:dyDescent="0.3">
      <c r="A11" t="s">
        <v>29</v>
      </c>
      <c r="B11">
        <v>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defaultRowHeight="14.4" x14ac:dyDescent="0.3"/>
  <sheetData>
    <row r="1" spans="1:2" x14ac:dyDescent="0.3">
      <c r="A1" t="s">
        <v>30</v>
      </c>
      <c r="B1" t="s">
        <v>19</v>
      </c>
    </row>
    <row r="2" spans="1:2" x14ac:dyDescent="0.3">
      <c r="A2" t="s">
        <v>31</v>
      </c>
      <c r="B2">
        <v>1507</v>
      </c>
    </row>
    <row r="3" spans="1:2" x14ac:dyDescent="0.3">
      <c r="A3" t="s">
        <v>32</v>
      </c>
      <c r="B3">
        <v>1493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1"/>
  <sheetViews>
    <sheetView workbookViewId="0">
      <selection sqref="A1:B21"/>
    </sheetView>
  </sheetViews>
  <sheetFormatPr defaultRowHeight="14.4" x14ac:dyDescent="0.3"/>
  <sheetData>
    <row r="1" spans="1:2" x14ac:dyDescent="0.3">
      <c r="A1" t="s">
        <v>33</v>
      </c>
      <c r="B1" t="s">
        <v>14</v>
      </c>
    </row>
    <row r="2" spans="1:2" x14ac:dyDescent="0.3">
      <c r="A2">
        <v>231</v>
      </c>
      <c r="B2">
        <v>25</v>
      </c>
    </row>
    <row r="3" spans="1:2" x14ac:dyDescent="0.3">
      <c r="A3">
        <v>2771</v>
      </c>
      <c r="B3">
        <v>21</v>
      </c>
    </row>
    <row r="4" spans="1:2" x14ac:dyDescent="0.3">
      <c r="A4">
        <v>792</v>
      </c>
      <c r="B4">
        <v>21</v>
      </c>
    </row>
    <row r="5" spans="1:2" x14ac:dyDescent="0.3">
      <c r="A5">
        <v>2662</v>
      </c>
      <c r="B5">
        <v>20</v>
      </c>
    </row>
    <row r="6" spans="1:2" x14ac:dyDescent="0.3">
      <c r="A6">
        <v>974</v>
      </c>
      <c r="B6">
        <v>20</v>
      </c>
    </row>
    <row r="7" spans="1:2" x14ac:dyDescent="0.3">
      <c r="A7">
        <v>675</v>
      </c>
      <c r="B7">
        <v>20</v>
      </c>
    </row>
    <row r="8" spans="1:2" x14ac:dyDescent="0.3">
      <c r="A8">
        <v>1045</v>
      </c>
      <c r="B8">
        <v>20</v>
      </c>
    </row>
    <row r="9" spans="1:2" x14ac:dyDescent="0.3">
      <c r="A9">
        <v>2491</v>
      </c>
      <c r="B9">
        <v>20</v>
      </c>
    </row>
    <row r="10" spans="1:2" x14ac:dyDescent="0.3">
      <c r="A10">
        <v>2206</v>
      </c>
      <c r="B10">
        <v>19</v>
      </c>
    </row>
    <row r="11" spans="1:2" x14ac:dyDescent="0.3">
      <c r="A11">
        <v>680</v>
      </c>
      <c r="B11">
        <v>19</v>
      </c>
    </row>
    <row r="12" spans="1:2" x14ac:dyDescent="0.3">
      <c r="A12">
        <v>2973</v>
      </c>
      <c r="B12">
        <v>19</v>
      </c>
    </row>
    <row r="13" spans="1:2" x14ac:dyDescent="0.3">
      <c r="A13">
        <v>1231</v>
      </c>
      <c r="B13">
        <v>19</v>
      </c>
    </row>
    <row r="14" spans="1:2" x14ac:dyDescent="0.3">
      <c r="A14">
        <v>1076</v>
      </c>
      <c r="B14">
        <v>19</v>
      </c>
    </row>
    <row r="15" spans="1:2" x14ac:dyDescent="0.3">
      <c r="A15">
        <v>2852</v>
      </c>
      <c r="B15">
        <v>18</v>
      </c>
    </row>
    <row r="16" spans="1:2" x14ac:dyDescent="0.3">
      <c r="A16">
        <v>1748</v>
      </c>
      <c r="B16">
        <v>18</v>
      </c>
    </row>
    <row r="17" spans="1:2" x14ac:dyDescent="0.3">
      <c r="A17">
        <v>2583</v>
      </c>
      <c r="B17">
        <v>18</v>
      </c>
    </row>
    <row r="18" spans="1:2" x14ac:dyDescent="0.3">
      <c r="A18">
        <v>2197</v>
      </c>
      <c r="B18">
        <v>18</v>
      </c>
    </row>
    <row r="19" spans="1:2" x14ac:dyDescent="0.3">
      <c r="A19">
        <v>2533</v>
      </c>
      <c r="B19">
        <v>18</v>
      </c>
    </row>
    <row r="20" spans="1:2" x14ac:dyDescent="0.3">
      <c r="A20">
        <v>1862</v>
      </c>
      <c r="B20">
        <v>18</v>
      </c>
    </row>
    <row r="21" spans="1:2" x14ac:dyDescent="0.3">
      <c r="A21">
        <v>2433</v>
      </c>
      <c r="B21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1"/>
  <sheetViews>
    <sheetView workbookViewId="0"/>
  </sheetViews>
  <sheetFormatPr defaultRowHeight="14.4" x14ac:dyDescent="0.3"/>
  <sheetData>
    <row r="1" spans="1:2" x14ac:dyDescent="0.3">
      <c r="A1" t="s">
        <v>34</v>
      </c>
      <c r="B1" t="s">
        <v>14</v>
      </c>
    </row>
    <row r="2" spans="1:2" x14ac:dyDescent="0.3">
      <c r="A2">
        <v>20</v>
      </c>
      <c r="B2">
        <v>1965</v>
      </c>
    </row>
    <row r="3" spans="1:2" x14ac:dyDescent="0.3">
      <c r="A3">
        <v>13</v>
      </c>
      <c r="B3">
        <v>1926</v>
      </c>
    </row>
    <row r="4" spans="1:2" x14ac:dyDescent="0.3">
      <c r="A4">
        <v>17</v>
      </c>
      <c r="B4">
        <v>1923</v>
      </c>
    </row>
    <row r="5" spans="1:2" x14ac:dyDescent="0.3">
      <c r="A5">
        <v>2</v>
      </c>
      <c r="B5">
        <v>1805</v>
      </c>
    </row>
    <row r="6" spans="1:2" x14ac:dyDescent="0.3">
      <c r="A6">
        <v>12</v>
      </c>
      <c r="B6">
        <v>1428</v>
      </c>
    </row>
    <row r="7" spans="1:2" x14ac:dyDescent="0.3">
      <c r="A7">
        <v>6</v>
      </c>
      <c r="B7">
        <v>1365</v>
      </c>
    </row>
    <row r="8" spans="1:2" x14ac:dyDescent="0.3">
      <c r="A8">
        <v>15</v>
      </c>
      <c r="B8">
        <v>1352</v>
      </c>
    </row>
    <row r="9" spans="1:2" x14ac:dyDescent="0.3">
      <c r="A9">
        <v>1</v>
      </c>
      <c r="B9">
        <v>1164</v>
      </c>
    </row>
    <row r="10" spans="1:2" x14ac:dyDescent="0.3">
      <c r="A10">
        <v>7</v>
      </c>
      <c r="B10">
        <v>1107</v>
      </c>
    </row>
    <row r="11" spans="1:2" x14ac:dyDescent="0.3">
      <c r="A11">
        <v>11</v>
      </c>
      <c r="B11">
        <v>1106</v>
      </c>
    </row>
    <row r="12" spans="1:2" x14ac:dyDescent="0.3">
      <c r="A12">
        <v>3</v>
      </c>
      <c r="B12">
        <v>1100</v>
      </c>
    </row>
    <row r="13" spans="1:2" x14ac:dyDescent="0.3">
      <c r="A13">
        <v>4</v>
      </c>
      <c r="B13">
        <v>1097</v>
      </c>
    </row>
    <row r="14" spans="1:2" x14ac:dyDescent="0.3">
      <c r="A14">
        <v>5</v>
      </c>
      <c r="B14">
        <v>1092</v>
      </c>
    </row>
    <row r="15" spans="1:2" x14ac:dyDescent="0.3">
      <c r="A15">
        <v>8</v>
      </c>
      <c r="B15">
        <v>1086</v>
      </c>
    </row>
    <row r="16" spans="1:2" x14ac:dyDescent="0.3">
      <c r="A16">
        <v>19</v>
      </c>
      <c r="B16">
        <v>1077</v>
      </c>
    </row>
    <row r="17" spans="1:2" x14ac:dyDescent="0.3">
      <c r="A17">
        <v>18</v>
      </c>
      <c r="B17">
        <v>1076</v>
      </c>
    </row>
    <row r="18" spans="1:2" x14ac:dyDescent="0.3">
      <c r="A18">
        <v>10</v>
      </c>
      <c r="B18">
        <v>1069</v>
      </c>
    </row>
    <row r="19" spans="1:2" x14ac:dyDescent="0.3">
      <c r="A19">
        <v>9</v>
      </c>
      <c r="B19">
        <v>831</v>
      </c>
    </row>
    <row r="20" spans="1:2" x14ac:dyDescent="0.3">
      <c r="A20">
        <v>16</v>
      </c>
      <c r="B20">
        <v>795</v>
      </c>
    </row>
    <row r="21" spans="1:2" x14ac:dyDescent="0.3">
      <c r="A21">
        <v>14</v>
      </c>
      <c r="B21">
        <v>636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1"/>
  <sheetViews>
    <sheetView workbookViewId="0"/>
  </sheetViews>
  <sheetFormatPr defaultRowHeight="14.4" x14ac:dyDescent="0.3"/>
  <sheetData>
    <row r="1" spans="1:2" x14ac:dyDescent="0.3">
      <c r="A1" t="s">
        <v>35</v>
      </c>
      <c r="B1" t="s">
        <v>36</v>
      </c>
    </row>
    <row r="2" spans="1:2" x14ac:dyDescent="0.3">
      <c r="A2">
        <v>394</v>
      </c>
      <c r="B2">
        <v>213</v>
      </c>
    </row>
    <row r="3" spans="1:2" x14ac:dyDescent="0.3">
      <c r="A3">
        <v>382</v>
      </c>
      <c r="B3">
        <v>213</v>
      </c>
    </row>
    <row r="4" spans="1:2" x14ac:dyDescent="0.3">
      <c r="A4">
        <v>122</v>
      </c>
      <c r="B4">
        <v>210</v>
      </c>
    </row>
    <row r="5" spans="1:2" x14ac:dyDescent="0.3">
      <c r="A5">
        <v>250</v>
      </c>
      <c r="B5">
        <v>120</v>
      </c>
    </row>
    <row r="6" spans="1:2" x14ac:dyDescent="0.3">
      <c r="A6">
        <v>103</v>
      </c>
      <c r="B6">
        <v>116</v>
      </c>
    </row>
    <row r="7" spans="1:2" x14ac:dyDescent="0.3">
      <c r="A7">
        <v>29</v>
      </c>
      <c r="B7">
        <v>115</v>
      </c>
    </row>
    <row r="8" spans="1:2" x14ac:dyDescent="0.3">
      <c r="A8">
        <v>25</v>
      </c>
      <c r="B8">
        <v>110</v>
      </c>
    </row>
    <row r="9" spans="1:2" x14ac:dyDescent="0.3">
      <c r="A9">
        <v>274</v>
      </c>
      <c r="B9">
        <v>110</v>
      </c>
    </row>
    <row r="10" spans="1:2" x14ac:dyDescent="0.3">
      <c r="A10">
        <v>136</v>
      </c>
      <c r="B10">
        <v>109</v>
      </c>
    </row>
    <row r="11" spans="1:2" x14ac:dyDescent="0.3">
      <c r="A11">
        <v>166</v>
      </c>
      <c r="B11">
        <v>108</v>
      </c>
    </row>
    <row r="12" spans="1:2" x14ac:dyDescent="0.3">
      <c r="A12">
        <v>325</v>
      </c>
      <c r="B12">
        <v>108</v>
      </c>
    </row>
    <row r="13" spans="1:2" x14ac:dyDescent="0.3">
      <c r="A13">
        <v>199</v>
      </c>
      <c r="B13">
        <v>108</v>
      </c>
    </row>
    <row r="14" spans="1:2" x14ac:dyDescent="0.3">
      <c r="A14">
        <v>71</v>
      </c>
      <c r="B14">
        <v>107</v>
      </c>
    </row>
    <row r="15" spans="1:2" x14ac:dyDescent="0.3">
      <c r="A15">
        <v>391</v>
      </c>
      <c r="B15">
        <v>107</v>
      </c>
    </row>
    <row r="16" spans="1:2" x14ac:dyDescent="0.3">
      <c r="A16">
        <v>51</v>
      </c>
      <c r="B16">
        <v>107</v>
      </c>
    </row>
    <row r="17" spans="1:2" x14ac:dyDescent="0.3">
      <c r="A17">
        <v>149</v>
      </c>
      <c r="B17">
        <v>106</v>
      </c>
    </row>
    <row r="18" spans="1:2" x14ac:dyDescent="0.3">
      <c r="A18">
        <v>200</v>
      </c>
      <c r="B18">
        <v>106</v>
      </c>
    </row>
    <row r="19" spans="1:2" x14ac:dyDescent="0.3">
      <c r="A19">
        <v>367</v>
      </c>
      <c r="B19">
        <v>106</v>
      </c>
    </row>
    <row r="20" spans="1:2" x14ac:dyDescent="0.3">
      <c r="A20">
        <v>130</v>
      </c>
      <c r="B20">
        <v>105</v>
      </c>
    </row>
    <row r="21" spans="1:2" x14ac:dyDescent="0.3">
      <c r="A21">
        <v>210</v>
      </c>
      <c r="B21">
        <v>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6"/>
  <sheetViews>
    <sheetView workbookViewId="0">
      <selection sqref="A1:B26"/>
    </sheetView>
  </sheetViews>
  <sheetFormatPr defaultRowHeight="14.4" x14ac:dyDescent="0.3"/>
  <sheetData>
    <row r="1" spans="1:2" x14ac:dyDescent="0.3">
      <c r="A1" t="s">
        <v>37</v>
      </c>
      <c r="B1" t="s">
        <v>9</v>
      </c>
    </row>
    <row r="2" spans="1:2" x14ac:dyDescent="0.3">
      <c r="A2" t="s">
        <v>38</v>
      </c>
      <c r="B2">
        <v>375274</v>
      </c>
    </row>
    <row r="3" spans="1:2" x14ac:dyDescent="0.3">
      <c r="A3" t="s">
        <v>39</v>
      </c>
      <c r="B3">
        <v>661691</v>
      </c>
    </row>
    <row r="4" spans="1:2" x14ac:dyDescent="0.3">
      <c r="A4" t="s">
        <v>40</v>
      </c>
      <c r="B4">
        <v>695397</v>
      </c>
    </row>
    <row r="5" spans="1:2" x14ac:dyDescent="0.3">
      <c r="A5" t="s">
        <v>41</v>
      </c>
      <c r="B5">
        <v>654420</v>
      </c>
    </row>
    <row r="6" spans="1:2" x14ac:dyDescent="0.3">
      <c r="A6" t="s">
        <v>42</v>
      </c>
      <c r="B6">
        <v>634928</v>
      </c>
    </row>
    <row r="7" spans="1:2" x14ac:dyDescent="0.3">
      <c r="A7" t="s">
        <v>43</v>
      </c>
      <c r="B7">
        <v>668156</v>
      </c>
    </row>
    <row r="8" spans="1:2" x14ac:dyDescent="0.3">
      <c r="A8" t="s">
        <v>44</v>
      </c>
      <c r="B8">
        <v>676556</v>
      </c>
    </row>
    <row r="9" spans="1:2" x14ac:dyDescent="0.3">
      <c r="A9" t="s">
        <v>45</v>
      </c>
      <c r="B9">
        <v>588694</v>
      </c>
    </row>
    <row r="10" spans="1:2" x14ac:dyDescent="0.3">
      <c r="A10" t="s">
        <v>46</v>
      </c>
      <c r="B10">
        <v>668054</v>
      </c>
    </row>
    <row r="11" spans="1:2" x14ac:dyDescent="0.3">
      <c r="A11" t="s">
        <v>47</v>
      </c>
      <c r="B11">
        <v>650838</v>
      </c>
    </row>
    <row r="12" spans="1:2" x14ac:dyDescent="0.3">
      <c r="A12" t="s">
        <v>48</v>
      </c>
      <c r="B12">
        <v>659881</v>
      </c>
    </row>
    <row r="13" spans="1:2" x14ac:dyDescent="0.3">
      <c r="A13" t="s">
        <v>49</v>
      </c>
      <c r="B13">
        <v>627740</v>
      </c>
    </row>
    <row r="14" spans="1:2" x14ac:dyDescent="0.3">
      <c r="A14" t="s">
        <v>50</v>
      </c>
      <c r="B14">
        <v>685860</v>
      </c>
    </row>
    <row r="15" spans="1:2" x14ac:dyDescent="0.3">
      <c r="A15" t="s">
        <v>51</v>
      </c>
      <c r="B15">
        <v>680198</v>
      </c>
    </row>
    <row r="16" spans="1:2" x14ac:dyDescent="0.3">
      <c r="A16" t="s">
        <v>52</v>
      </c>
      <c r="B16">
        <v>611559</v>
      </c>
    </row>
    <row r="17" spans="1:2" x14ac:dyDescent="0.3">
      <c r="A17" t="s">
        <v>53</v>
      </c>
      <c r="B17">
        <v>668158</v>
      </c>
    </row>
    <row r="18" spans="1:2" x14ac:dyDescent="0.3">
      <c r="A18" t="s">
        <v>54</v>
      </c>
      <c r="B18">
        <v>684800</v>
      </c>
    </row>
    <row r="19" spans="1:2" x14ac:dyDescent="0.3">
      <c r="A19" t="s">
        <v>55</v>
      </c>
      <c r="B19">
        <v>649590</v>
      </c>
    </row>
    <row r="20" spans="1:2" x14ac:dyDescent="0.3">
      <c r="A20" t="s">
        <v>56</v>
      </c>
      <c r="B20">
        <v>667861</v>
      </c>
    </row>
    <row r="21" spans="1:2" x14ac:dyDescent="0.3">
      <c r="A21" t="s">
        <v>57</v>
      </c>
      <c r="B21">
        <v>596594</v>
      </c>
    </row>
    <row r="22" spans="1:2" x14ac:dyDescent="0.3">
      <c r="A22" t="s">
        <v>58</v>
      </c>
      <c r="B22">
        <v>666349</v>
      </c>
    </row>
    <row r="23" spans="1:2" x14ac:dyDescent="0.3">
      <c r="A23" t="s">
        <v>59</v>
      </c>
      <c r="B23">
        <v>668310</v>
      </c>
    </row>
    <row r="24" spans="1:2" x14ac:dyDescent="0.3">
      <c r="A24" t="s">
        <v>60</v>
      </c>
      <c r="B24">
        <v>657582</v>
      </c>
    </row>
    <row r="25" spans="1:2" x14ac:dyDescent="0.3">
      <c r="A25" t="s">
        <v>61</v>
      </c>
      <c r="B25">
        <v>589170</v>
      </c>
    </row>
    <row r="26" spans="1:2" x14ac:dyDescent="0.3">
      <c r="A26" t="s">
        <v>62</v>
      </c>
      <c r="B26">
        <v>332275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pivot tables</vt:lpstr>
      <vt:lpstr>Dashboard</vt:lpstr>
      <vt:lpstr>KPIs</vt:lpstr>
      <vt:lpstr>Revenue</vt:lpstr>
      <vt:lpstr>Orders Status</vt:lpstr>
      <vt:lpstr>Customers City</vt:lpstr>
      <vt:lpstr>Customers Gender</vt:lpstr>
      <vt:lpstr>Top Customers</vt:lpstr>
      <vt:lpstr>Top Restaurants</vt:lpstr>
      <vt:lpstr>Top Drivers</vt:lpstr>
      <vt:lpstr>Monthly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200034191-Yousef Ashraf Abd Elaty Hasan  Wanas</cp:lastModifiedBy>
  <dcterms:created xsi:type="dcterms:W3CDTF">2026-07-16T15:22:39Z</dcterms:created>
  <dcterms:modified xsi:type="dcterms:W3CDTF">2026-07-16T16:06:08Z</dcterms:modified>
</cp:coreProperties>
</file>